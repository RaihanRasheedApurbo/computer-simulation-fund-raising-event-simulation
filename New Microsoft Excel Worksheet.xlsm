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iha\Desktop\sim last offline\"/>
    </mc:Choice>
  </mc:AlternateContent>
  <xr:revisionPtr revIDLastSave="0" documentId="13_ncr:1_{3E0D3EF6-48F1-4B1C-A961-1AF77F0A04DA}" xr6:coauthVersionLast="47" xr6:coauthVersionMax="47" xr10:uidLastSave="{00000000-0000-0000-0000-000000000000}"/>
  <bookViews>
    <workbookView xWindow="2580" yWindow="1995" windowWidth="18000" windowHeight="9360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8" i="2" l="1"/>
  <c r="L28" i="2"/>
  <c r="K40" i="2"/>
  <c r="K41" i="2" s="1"/>
  <c r="K42" i="2" s="1"/>
  <c r="K43" i="2" s="1"/>
  <c r="K44" i="2" s="1"/>
  <c r="K45" i="2" s="1"/>
  <c r="K46" i="2" s="1"/>
  <c r="K47" i="2" s="1"/>
  <c r="K39" i="2"/>
  <c r="B38" i="2"/>
  <c r="C38" i="2" s="1"/>
  <c r="D38" i="2" s="1"/>
  <c r="I19" i="1"/>
  <c r="K27" i="2"/>
  <c r="K20" i="2"/>
  <c r="K21" i="2"/>
  <c r="K22" i="2" s="1"/>
  <c r="K23" i="2" s="1"/>
  <c r="K24" i="2" s="1"/>
  <c r="K25" i="2" s="1"/>
  <c r="K26" i="2" s="1"/>
  <c r="K19" i="2"/>
  <c r="G20" i="1"/>
  <c r="G19" i="1"/>
  <c r="B18" i="2"/>
  <c r="I11" i="2"/>
  <c r="I12" i="2"/>
  <c r="I10" i="2"/>
  <c r="O9" i="1"/>
  <c r="D11" i="2"/>
  <c r="D12" i="2"/>
  <c r="D10" i="2"/>
  <c r="C10" i="1"/>
  <c r="C11" i="1"/>
  <c r="C9" i="1"/>
  <c r="J31" i="1"/>
  <c r="K31" i="1"/>
  <c r="L31" i="1"/>
  <c r="I31" i="1"/>
  <c r="O10" i="1"/>
  <c r="O11" i="1"/>
  <c r="L10" i="1"/>
  <c r="L11" i="1"/>
  <c r="L9" i="1"/>
  <c r="I10" i="1"/>
  <c r="I11" i="1"/>
  <c r="Q17" i="1"/>
  <c r="R17" i="1" s="1"/>
  <c r="S17" i="1" s="1"/>
  <c r="T17" i="1" s="1"/>
  <c r="U17" i="1" s="1"/>
  <c r="O19" i="1"/>
  <c r="O20" i="1" s="1"/>
  <c r="O21" i="1" s="1"/>
  <c r="O22" i="1" s="1"/>
  <c r="O23" i="1" s="1"/>
  <c r="O24" i="1" s="1"/>
  <c r="O25" i="1" s="1"/>
  <c r="O26" i="1" s="1"/>
  <c r="O27" i="1" s="1"/>
  <c r="F19" i="1"/>
  <c r="K19" i="1" s="1"/>
  <c r="H46" i="2" l="1"/>
  <c r="G46" i="2"/>
  <c r="F46" i="2"/>
  <c r="H45" i="2"/>
  <c r="G45" i="2"/>
  <c r="F45" i="2"/>
  <c r="H39" i="2"/>
  <c r="G39" i="2"/>
  <c r="F39" i="2"/>
  <c r="H38" i="2"/>
  <c r="G38" i="2"/>
  <c r="F38" i="2"/>
  <c r="D39" i="2"/>
  <c r="C18" i="2"/>
  <c r="I9" i="1"/>
  <c r="K20" i="1"/>
  <c r="F32" i="1"/>
  <c r="J33" i="1" s="1"/>
  <c r="I20" i="1"/>
  <c r="J20" i="1"/>
  <c r="J19" i="1"/>
  <c r="I46" i="2" l="1"/>
  <c r="I45" i="2"/>
  <c r="I39" i="2"/>
  <c r="I38" i="2"/>
  <c r="D18" i="2"/>
  <c r="D19" i="2"/>
  <c r="H26" i="2"/>
  <c r="H18" i="2"/>
  <c r="F25" i="2"/>
  <c r="G26" i="2"/>
  <c r="F19" i="2"/>
  <c r="G25" i="2"/>
  <c r="F18" i="2"/>
  <c r="G19" i="2"/>
  <c r="H25" i="2"/>
  <c r="G18" i="2"/>
  <c r="H19" i="2"/>
  <c r="F26" i="2"/>
  <c r="J32" i="1"/>
  <c r="I33" i="1"/>
  <c r="K32" i="1"/>
  <c r="I32" i="1"/>
  <c r="K33" i="1"/>
  <c r="L19" i="1"/>
  <c r="L20" i="1"/>
  <c r="I48" i="2" l="1"/>
  <c r="I41" i="2"/>
  <c r="I18" i="2"/>
  <c r="I25" i="2"/>
  <c r="I19" i="2"/>
  <c r="I26" i="2"/>
  <c r="L32" i="1"/>
  <c r="L22" i="1"/>
  <c r="O17" i="1" s="1"/>
  <c r="L33" i="1"/>
  <c r="I51" i="2" l="1"/>
  <c r="L37" i="2" s="1"/>
  <c r="I28" i="2"/>
  <c r="I21" i="2"/>
  <c r="L35" i="1"/>
  <c r="L39" i="1" s="1"/>
  <c r="I31" i="2" l="1"/>
  <c r="L17" i="2" l="1"/>
</calcChain>
</file>

<file path=xl/sharedStrings.xml><?xml version="1.0" encoding="utf-8"?>
<sst xmlns="http://schemas.openxmlformats.org/spreadsheetml/2006/main" count="90" uniqueCount="33">
  <si>
    <t>Entry Fee</t>
  </si>
  <si>
    <t>Attendance</t>
  </si>
  <si>
    <t>Rainy</t>
  </si>
  <si>
    <t>Cloudy</t>
  </si>
  <si>
    <t>Sunny</t>
  </si>
  <si>
    <t>Playing Odds</t>
  </si>
  <si>
    <t>RT</t>
  </si>
  <si>
    <t>TST</t>
  </si>
  <si>
    <t>Bets</t>
  </si>
  <si>
    <t>WF</t>
  </si>
  <si>
    <t>Total</t>
  </si>
  <si>
    <t>Parameters</t>
  </si>
  <si>
    <t>Value</t>
  </si>
  <si>
    <t>Range Setting</t>
  </si>
  <si>
    <t>Profit</t>
  </si>
  <si>
    <t>Variable Cost</t>
  </si>
  <si>
    <t xml:space="preserve">Entry </t>
  </si>
  <si>
    <t>Round 1</t>
  </si>
  <si>
    <t>Round 2</t>
  </si>
  <si>
    <t>Participation Odds</t>
  </si>
  <si>
    <t>Fixed</t>
  </si>
  <si>
    <t>Round2</t>
  </si>
  <si>
    <t>Total Profit</t>
  </si>
  <si>
    <t>In percentage</t>
  </si>
  <si>
    <t>Values</t>
  </si>
  <si>
    <t xml:space="preserve">Playing odds </t>
  </si>
  <si>
    <t>1st Round</t>
  </si>
  <si>
    <t>Random, U1</t>
  </si>
  <si>
    <t>Variable Cost Per Person</t>
  </si>
  <si>
    <t>Variable</t>
  </si>
  <si>
    <t>2nd Round</t>
  </si>
  <si>
    <t>Average Profit</t>
  </si>
  <si>
    <t>Random, U2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</si>
</sst>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C$2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Scroll" dx="22" fmlaLink="$C$5" horiz="1" max="3000" min="100" page="10" val="1500"/>
</file>

<file path=xl/ctrlProps/ctrlProp6.xml><?xml version="1.0" encoding="utf-8"?>
<formControlPr xmlns="http://schemas.microsoft.com/office/spreadsheetml/2009/9/main" objectType="Scroll" dx="22" fmlaLink="$C$6" horiz="1" max="4000" min="100" page="10" val="2500"/>
</file>

<file path=xl/ctrlProps/ctrlProp7.xml><?xml version="1.0" encoding="utf-8"?>
<formControlPr xmlns="http://schemas.microsoft.com/office/spreadsheetml/2009/9/main" objectType="Scroll" dx="22" fmlaLink="$C$7" horiz="1" max="6000" min="100" page="10" val="4500"/>
</file>

<file path=xl/ctrlProps/ctrlProp8.xml><?xml version="1.0" encoding="utf-8"?>
<formControlPr xmlns="http://schemas.microsoft.com/office/spreadsheetml/2009/9/main" objectType="Scroll" dx="22" fmlaLink="$D$9" horiz="1" max="100" page="10" val="40"/>
</file>

<file path=xl/ctrlProps/ctrlProp9.xml><?xml version="1.0" encoding="utf-8"?>
<formControlPr xmlns="http://schemas.microsoft.com/office/spreadsheetml/2009/9/main" objectType="Scroll" dx="22" fmlaLink="$D$10" horiz="1" max="100" page="10" val="40"/>
</file>

<file path=xl/ctrlProps/ctrlProp10.xml><?xml version="1.0" encoding="utf-8"?>
<formControlPr xmlns="http://schemas.microsoft.com/office/spreadsheetml/2009/9/main" objectType="Scroll" dx="22" fmlaLink="$D$11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3</xdr:col>
          <xdr:colOff>9525</xdr:colOff>
          <xdr:row>23</xdr:row>
          <xdr:rowOff>171450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17</xdr:row>
          <xdr:rowOff>0</xdr:rowOff>
        </xdr:from>
        <xdr:to>
          <xdr:col>1</xdr:col>
          <xdr:colOff>600075</xdr:colOff>
          <xdr:row>18</xdr:row>
          <xdr:rowOff>28575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Rainy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18</xdr:row>
          <xdr:rowOff>171450</xdr:rowOff>
        </xdr:from>
        <xdr:to>
          <xdr:col>1</xdr:col>
          <xdr:colOff>600075</xdr:colOff>
          <xdr:row>20</xdr:row>
          <xdr:rowOff>9525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Cloudy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21</xdr:row>
          <xdr:rowOff>0</xdr:rowOff>
        </xdr:from>
        <xdr:to>
          <xdr:col>2</xdr:col>
          <xdr:colOff>0</xdr:colOff>
          <xdr:row>22</xdr:row>
          <xdr:rowOff>28575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Sunny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7</xdr:col>
          <xdr:colOff>19050</xdr:colOff>
          <xdr:row>5</xdr:row>
          <xdr:rowOff>161925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180975</xdr:rowOff>
        </xdr:from>
        <xdr:to>
          <xdr:col>6</xdr:col>
          <xdr:colOff>600075</xdr:colOff>
          <xdr:row>6</xdr:row>
          <xdr:rowOff>180975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9525</xdr:rowOff>
        </xdr:from>
        <xdr:to>
          <xdr:col>7</xdr:col>
          <xdr:colOff>9525</xdr:colOff>
          <xdr:row>8</xdr:row>
          <xdr:rowOff>180975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0</xdr:rowOff>
        </xdr:from>
        <xdr:to>
          <xdr:col>7</xdr:col>
          <xdr:colOff>0</xdr:colOff>
          <xdr:row>10</xdr:row>
          <xdr:rowOff>19050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180975</xdr:rowOff>
        </xdr:from>
        <xdr:to>
          <xdr:col>7</xdr:col>
          <xdr:colOff>9525</xdr:colOff>
          <xdr:row>10</xdr:row>
          <xdr:rowOff>180975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9"/>
  <sheetViews>
    <sheetView workbookViewId="0">
      <selection activeCell="I19" sqref="I19"/>
    </sheetView>
  </sheetViews>
  <sheetFormatPr defaultRowHeight="15" x14ac:dyDescent="0.25"/>
  <cols>
    <col min="4" max="4" width="16.140625" customWidth="1"/>
    <col min="10" max="10" width="10.42578125" customWidth="1"/>
    <col min="11" max="11" width="13.140625" customWidth="1"/>
  </cols>
  <sheetData>
    <row r="1" spans="1:18" x14ac:dyDescent="0.25">
      <c r="A1" t="s">
        <v>11</v>
      </c>
      <c r="C1" t="s">
        <v>12</v>
      </c>
      <c r="F1" t="s">
        <v>13</v>
      </c>
    </row>
    <row r="2" spans="1:18" x14ac:dyDescent="0.25">
      <c r="A2" t="s">
        <v>15</v>
      </c>
      <c r="C2">
        <v>30</v>
      </c>
    </row>
    <row r="3" spans="1:18" x14ac:dyDescent="0.25">
      <c r="A3" t="s">
        <v>0</v>
      </c>
      <c r="C3">
        <v>30</v>
      </c>
    </row>
    <row r="4" spans="1:18" x14ac:dyDescent="0.25">
      <c r="A4" t="s">
        <v>1</v>
      </c>
    </row>
    <row r="5" spans="1:18" x14ac:dyDescent="0.25">
      <c r="A5" t="s">
        <v>2</v>
      </c>
      <c r="C5">
        <v>1500</v>
      </c>
    </row>
    <row r="6" spans="1:18" x14ac:dyDescent="0.25">
      <c r="A6" t="s">
        <v>3</v>
      </c>
      <c r="C6">
        <v>2500</v>
      </c>
    </row>
    <row r="7" spans="1:18" x14ac:dyDescent="0.25">
      <c r="A7" t="s">
        <v>4</v>
      </c>
      <c r="C7">
        <v>4500</v>
      </c>
    </row>
    <row r="8" spans="1:18" x14ac:dyDescent="0.25">
      <c r="A8" t="s">
        <v>5</v>
      </c>
      <c r="C8" t="s">
        <v>17</v>
      </c>
      <c r="D8" t="s">
        <v>23</v>
      </c>
      <c r="I8" t="s">
        <v>18</v>
      </c>
      <c r="L8" t="s">
        <v>19</v>
      </c>
      <c r="N8" t="s">
        <v>17</v>
      </c>
      <c r="O8" t="s">
        <v>21</v>
      </c>
    </row>
    <row r="9" spans="1:18" x14ac:dyDescent="0.25">
      <c r="A9" t="s">
        <v>7</v>
      </c>
      <c r="C9">
        <f>D9/100</f>
        <v>0.4</v>
      </c>
      <c r="D9">
        <v>40</v>
      </c>
      <c r="I9">
        <f>MAX(0.1, C9 - 0.1)</f>
        <v>0.30000000000000004</v>
      </c>
      <c r="L9" t="str">
        <f>A9</f>
        <v>TST</v>
      </c>
      <c r="N9">
        <v>1</v>
      </c>
      <c r="O9">
        <f xml:space="preserve"> MIN(1, 2*C9)</f>
        <v>0.8</v>
      </c>
    </row>
    <row r="10" spans="1:18" x14ac:dyDescent="0.25">
      <c r="A10" t="s">
        <v>9</v>
      </c>
      <c r="C10">
        <f t="shared" ref="C10:C11" si="0">D10/100</f>
        <v>0.4</v>
      </c>
      <c r="D10">
        <v>40</v>
      </c>
      <c r="I10">
        <f t="shared" ref="I10:I11" si="1">MAX(0.1, C10 - 0.1)</f>
        <v>0.30000000000000004</v>
      </c>
      <c r="L10" t="str">
        <f t="shared" ref="L10:L11" si="2">A10</f>
        <v>WF</v>
      </c>
      <c r="N10">
        <v>1</v>
      </c>
      <c r="O10">
        <f t="shared" ref="O10:O11" si="3" xml:space="preserve"> MIN(1, 2*C10)</f>
        <v>0.8</v>
      </c>
    </row>
    <row r="11" spans="1:18" x14ac:dyDescent="0.25">
      <c r="A11" t="s">
        <v>6</v>
      </c>
      <c r="C11">
        <f t="shared" si="0"/>
        <v>0.5</v>
      </c>
      <c r="D11">
        <v>50</v>
      </c>
      <c r="I11">
        <f t="shared" si="1"/>
        <v>0.4</v>
      </c>
      <c r="L11" t="str">
        <f t="shared" si="2"/>
        <v>RT</v>
      </c>
      <c r="N11">
        <v>1</v>
      </c>
      <c r="O11">
        <f t="shared" si="3"/>
        <v>1</v>
      </c>
    </row>
    <row r="12" spans="1:18" x14ac:dyDescent="0.25">
      <c r="A12" t="s">
        <v>8</v>
      </c>
      <c r="C12">
        <v>50</v>
      </c>
    </row>
    <row r="16" spans="1:18" x14ac:dyDescent="0.25">
      <c r="R16" t="s">
        <v>0</v>
      </c>
    </row>
    <row r="17" spans="3:21" x14ac:dyDescent="0.25">
      <c r="F17" t="s">
        <v>1</v>
      </c>
      <c r="G17" t="s">
        <v>16</v>
      </c>
      <c r="H17" t="s">
        <v>20</v>
      </c>
      <c r="I17" t="s">
        <v>7</v>
      </c>
      <c r="J17" t="s">
        <v>9</v>
      </c>
      <c r="K17" t="s">
        <v>6</v>
      </c>
      <c r="L17" t="s">
        <v>10</v>
      </c>
      <c r="O17">
        <f>L22</f>
        <v>40000</v>
      </c>
      <c r="P17">
        <v>0</v>
      </c>
      <c r="Q17">
        <f>P17+10</f>
        <v>10</v>
      </c>
      <c r="R17">
        <f t="shared" ref="R17:U17" si="4">Q17+10</f>
        <v>20</v>
      </c>
      <c r="S17">
        <f t="shared" si="4"/>
        <v>30</v>
      </c>
      <c r="T17">
        <f t="shared" si="4"/>
        <v>40</v>
      </c>
      <c r="U17">
        <f t="shared" si="4"/>
        <v>50</v>
      </c>
    </row>
    <row r="18" spans="3:21" x14ac:dyDescent="0.25">
      <c r="O18">
        <v>10</v>
      </c>
      <c r="P18">
        <f t="dataTable" ref="P18:U27" dt2D="1" dtr="1" r1="C3" r2="C12"/>
        <v>-167000</v>
      </c>
      <c r="Q18">
        <v>-122000</v>
      </c>
      <c r="R18">
        <v>-77000</v>
      </c>
      <c r="S18">
        <v>-32000</v>
      </c>
      <c r="T18">
        <v>13000</v>
      </c>
      <c r="U18">
        <v>58000</v>
      </c>
    </row>
    <row r="19" spans="3:21" x14ac:dyDescent="0.25">
      <c r="F19">
        <f>IF(C24=1, C5, IF(C24=2,C6,IF(C24=3,C7,0)))</f>
        <v>4500</v>
      </c>
      <c r="G19">
        <f>F19*C3</f>
        <v>135000</v>
      </c>
      <c r="H19">
        <v>0</v>
      </c>
      <c r="I19">
        <f>(1-C9)*F19*C12</f>
        <v>135000</v>
      </c>
      <c r="J19">
        <f>(1-C10)*F19*C12</f>
        <v>135000</v>
      </c>
      <c r="K19">
        <f>(1-C11)*F19*C12</f>
        <v>112500</v>
      </c>
      <c r="L19">
        <f>SUM(G19:K19)</f>
        <v>517500</v>
      </c>
      <c r="O19">
        <f>O18+10</f>
        <v>20</v>
      </c>
      <c r="P19">
        <v>-149000</v>
      </c>
      <c r="Q19">
        <v>-104000</v>
      </c>
      <c r="R19">
        <v>-59000</v>
      </c>
      <c r="S19">
        <v>-14000</v>
      </c>
      <c r="T19">
        <v>31000</v>
      </c>
      <c r="U19">
        <v>76000</v>
      </c>
    </row>
    <row r="20" spans="3:21" x14ac:dyDescent="0.25">
      <c r="G20">
        <f>F19*C2</f>
        <v>135000</v>
      </c>
      <c r="H20">
        <v>50000</v>
      </c>
      <c r="I20">
        <f>C9*F19*C12</f>
        <v>90000</v>
      </c>
      <c r="J20">
        <f>C10*F19*C12</f>
        <v>90000</v>
      </c>
      <c r="K20">
        <f>C11*F19*C12</f>
        <v>112500</v>
      </c>
      <c r="L20">
        <f>SUM(G20:K20)</f>
        <v>477500</v>
      </c>
      <c r="O20">
        <f t="shared" ref="O20:O27" si="5">O19+10</f>
        <v>30</v>
      </c>
      <c r="P20">
        <v>-131000</v>
      </c>
      <c r="Q20">
        <v>-86000</v>
      </c>
      <c r="R20">
        <v>-41000</v>
      </c>
      <c r="S20">
        <v>4000</v>
      </c>
      <c r="T20">
        <v>49000</v>
      </c>
      <c r="U20">
        <v>94000</v>
      </c>
    </row>
    <row r="21" spans="3:21" x14ac:dyDescent="0.25">
      <c r="O21">
        <f t="shared" si="5"/>
        <v>40</v>
      </c>
      <c r="P21">
        <v>-113000</v>
      </c>
      <c r="Q21">
        <v>-68000</v>
      </c>
      <c r="R21">
        <v>-23000</v>
      </c>
      <c r="S21">
        <v>22000</v>
      </c>
      <c r="T21">
        <v>67000</v>
      </c>
      <c r="U21">
        <v>112000</v>
      </c>
    </row>
    <row r="22" spans="3:21" x14ac:dyDescent="0.25">
      <c r="K22" t="s">
        <v>14</v>
      </c>
      <c r="L22">
        <f>L19-L20</f>
        <v>40000</v>
      </c>
      <c r="N22" t="s">
        <v>8</v>
      </c>
      <c r="O22">
        <f t="shared" si="5"/>
        <v>50</v>
      </c>
      <c r="P22">
        <v>-95000</v>
      </c>
      <c r="Q22">
        <v>-50000</v>
      </c>
      <c r="R22">
        <v>-5000</v>
      </c>
      <c r="S22">
        <v>40000</v>
      </c>
      <c r="T22">
        <v>85000</v>
      </c>
      <c r="U22">
        <v>130000</v>
      </c>
    </row>
    <row r="23" spans="3:21" x14ac:dyDescent="0.25">
      <c r="O23">
        <f t="shared" si="5"/>
        <v>60</v>
      </c>
      <c r="P23">
        <v>-77000</v>
      </c>
      <c r="Q23">
        <v>-32000</v>
      </c>
      <c r="R23">
        <v>13000</v>
      </c>
      <c r="S23">
        <v>58000</v>
      </c>
      <c r="T23">
        <v>103000</v>
      </c>
      <c r="U23">
        <v>148000</v>
      </c>
    </row>
    <row r="24" spans="3:21" x14ac:dyDescent="0.25">
      <c r="C24">
        <v>3</v>
      </c>
      <c r="O24">
        <f t="shared" si="5"/>
        <v>70</v>
      </c>
      <c r="P24">
        <v>-59000</v>
      </c>
      <c r="Q24">
        <v>-14000</v>
      </c>
      <c r="R24">
        <v>31000</v>
      </c>
      <c r="S24">
        <v>76000</v>
      </c>
      <c r="T24">
        <v>121000</v>
      </c>
      <c r="U24">
        <v>166000</v>
      </c>
    </row>
    <row r="25" spans="3:21" x14ac:dyDescent="0.25">
      <c r="O25">
        <f t="shared" si="5"/>
        <v>80</v>
      </c>
      <c r="P25">
        <v>-41000</v>
      </c>
      <c r="Q25">
        <v>4000</v>
      </c>
      <c r="R25">
        <v>49000</v>
      </c>
      <c r="S25">
        <v>94000</v>
      </c>
      <c r="T25">
        <v>139000</v>
      </c>
      <c r="U25">
        <v>184000</v>
      </c>
    </row>
    <row r="26" spans="3:21" x14ac:dyDescent="0.25">
      <c r="O26">
        <f t="shared" si="5"/>
        <v>90</v>
      </c>
      <c r="P26">
        <v>-23000</v>
      </c>
      <c r="Q26">
        <v>22000</v>
      </c>
      <c r="R26">
        <v>67000</v>
      </c>
      <c r="S26">
        <v>112000</v>
      </c>
      <c r="T26">
        <v>157000</v>
      </c>
      <c r="U26">
        <v>202000</v>
      </c>
    </row>
    <row r="27" spans="3:21" x14ac:dyDescent="0.25">
      <c r="O27">
        <f t="shared" si="5"/>
        <v>100</v>
      </c>
      <c r="P27">
        <v>-5000</v>
      </c>
      <c r="Q27">
        <v>40000</v>
      </c>
      <c r="R27">
        <v>85000</v>
      </c>
      <c r="S27">
        <v>130000</v>
      </c>
      <c r="T27">
        <v>175000</v>
      </c>
      <c r="U27">
        <v>220000</v>
      </c>
    </row>
    <row r="31" spans="3:21" x14ac:dyDescent="0.25">
      <c r="I31" t="str">
        <f>I17</f>
        <v>TST</v>
      </c>
      <c r="J31" t="str">
        <f t="shared" ref="J31:L31" si="6">J17</f>
        <v>WF</v>
      </c>
      <c r="K31" t="str">
        <f t="shared" si="6"/>
        <v>RT</v>
      </c>
      <c r="L31" t="str">
        <f t="shared" si="6"/>
        <v>Total</v>
      </c>
    </row>
    <row r="32" spans="3:21" x14ac:dyDescent="0.25">
      <c r="F32">
        <f>F19</f>
        <v>4500</v>
      </c>
      <c r="I32">
        <f>(1-I9)*F32*C12*O9</f>
        <v>126000</v>
      </c>
      <c r="J32">
        <f>(1-I10)*F32*C12*O10</f>
        <v>126000</v>
      </c>
      <c r="K32">
        <f>(1-I11)*F32*C12*O11</f>
        <v>135000</v>
      </c>
      <c r="L32">
        <f>SUM(I32:K32)</f>
        <v>387000</v>
      </c>
    </row>
    <row r="33" spans="9:12" x14ac:dyDescent="0.25">
      <c r="I33">
        <f>I9*F32*C12*O9</f>
        <v>54000.000000000015</v>
      </c>
      <c r="J33">
        <f>I10*F32*C12*O10</f>
        <v>54000.000000000015</v>
      </c>
      <c r="K33">
        <f>I11*F32*C12*O11</f>
        <v>90000</v>
      </c>
      <c r="L33">
        <f>SUM(I33:K33)</f>
        <v>198000.00000000003</v>
      </c>
    </row>
    <row r="35" spans="9:12" x14ac:dyDescent="0.25">
      <c r="K35" t="s">
        <v>14</v>
      </c>
      <c r="L35">
        <f>L32-L33</f>
        <v>188999.99999999997</v>
      </c>
    </row>
    <row r="39" spans="9:12" x14ac:dyDescent="0.25">
      <c r="K39" t="s">
        <v>22</v>
      </c>
      <c r="L39">
        <f>L22+L35</f>
        <v>228999.99999999997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9525</xdr:colOff>
                    <xdr:row>16</xdr:row>
                    <xdr:rowOff>9525</xdr:rowOff>
                  </from>
                  <to>
                    <xdr:col>3</xdr:col>
                    <xdr:colOff>9525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0</xdr:col>
                    <xdr:colOff>295275</xdr:colOff>
                    <xdr:row>17</xdr:row>
                    <xdr:rowOff>0</xdr:rowOff>
                  </from>
                  <to>
                    <xdr:col>1</xdr:col>
                    <xdr:colOff>600075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>
                <anchor moveWithCells="1">
                  <from>
                    <xdr:col>0</xdr:col>
                    <xdr:colOff>295275</xdr:colOff>
                    <xdr:row>18</xdr:row>
                    <xdr:rowOff>171450</xdr:rowOff>
                  </from>
                  <to>
                    <xdr:col>1</xdr:col>
                    <xdr:colOff>600075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Option Button 4">
              <controlPr defaultSize="0" autoFill="0" autoLine="0" autoPict="0">
                <anchor moveWithCells="1">
                  <from>
                    <xdr:col>0</xdr:col>
                    <xdr:colOff>304800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Scroll Bar 7">
              <controlPr defaultSize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Scroll Bar 10">
              <controlPr defaultSize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7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Scroll Bar 11">
              <controlPr defaultSize="0" autoPict="0">
                <anchor moveWithCells="1">
                  <from>
                    <xdr:col>4</xdr:col>
                    <xdr:colOff>19050</xdr:colOff>
                    <xdr:row>5</xdr:row>
                    <xdr:rowOff>180975</xdr:rowOff>
                  </from>
                  <to>
                    <xdr:col>6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Scroll Bar 12">
              <controlPr defaultSize="0" autoPict="0">
                <anchor mov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7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Scroll Bar 13">
              <controlPr defaultSize="0" autoPict="0">
                <anchor moveWithCells="1">
                  <from>
                    <xdr:col>4</xdr:col>
                    <xdr:colOff>9525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Scroll Bar 14">
              <controlPr defaultSize="0" autoPict="0">
                <anchor moveWithCells="1">
                  <from>
                    <xdr:col>4</xdr:col>
                    <xdr:colOff>0</xdr:colOff>
                    <xdr:row>9</xdr:row>
                    <xdr:rowOff>180975</xdr:rowOff>
                  </from>
                  <to>
                    <xdr:col>7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7B29-02EE-464A-B0B9-5B727182108B}">
  <dimension ref="A1:L51"/>
  <sheetViews>
    <sheetView tabSelected="1" topLeftCell="A32" workbookViewId="0">
      <selection activeCell="E54" sqref="E54"/>
    </sheetView>
  </sheetViews>
  <sheetFormatPr defaultRowHeight="15" x14ac:dyDescent="0.25"/>
  <cols>
    <col min="2" max="2" width="13.7109375" customWidth="1"/>
    <col min="3" max="3" width="12.42578125" customWidth="1"/>
    <col min="4" max="4" width="13.28515625" customWidth="1"/>
    <col min="11" max="11" width="18.140625" customWidth="1"/>
  </cols>
  <sheetData>
    <row r="1" spans="1:12" x14ac:dyDescent="0.25">
      <c r="A1" t="s">
        <v>11</v>
      </c>
      <c r="C1" t="s">
        <v>24</v>
      </c>
    </row>
    <row r="5" spans="1:12" x14ac:dyDescent="0.25">
      <c r="A5" t="s">
        <v>0</v>
      </c>
      <c r="C5">
        <v>30</v>
      </c>
    </row>
    <row r="6" spans="1:12" x14ac:dyDescent="0.25">
      <c r="A6" t="s">
        <v>1</v>
      </c>
    </row>
    <row r="7" spans="1:12" x14ac:dyDescent="0.25">
      <c r="A7" t="s">
        <v>2</v>
      </c>
      <c r="C7">
        <v>2500</v>
      </c>
    </row>
    <row r="8" spans="1:12" x14ac:dyDescent="0.25">
      <c r="A8" t="s">
        <v>4</v>
      </c>
      <c r="C8">
        <v>5000</v>
      </c>
    </row>
    <row r="9" spans="1:12" x14ac:dyDescent="0.25">
      <c r="A9" t="s">
        <v>25</v>
      </c>
      <c r="C9" t="s">
        <v>17</v>
      </c>
      <c r="D9" t="s">
        <v>18</v>
      </c>
      <c r="F9" t="s">
        <v>19</v>
      </c>
      <c r="H9" t="s">
        <v>17</v>
      </c>
      <c r="I9" t="s">
        <v>21</v>
      </c>
    </row>
    <row r="10" spans="1:12" x14ac:dyDescent="0.25">
      <c r="A10" t="s">
        <v>7</v>
      </c>
      <c r="C10">
        <v>0.4</v>
      </c>
      <c r="D10">
        <f>MAX(0.1, C10 - 0.1)</f>
        <v>0.30000000000000004</v>
      </c>
      <c r="F10" t="s">
        <v>7</v>
      </c>
      <c r="H10">
        <v>1</v>
      </c>
      <c r="I10">
        <f xml:space="preserve"> MIN(1, 2*C10)</f>
        <v>0.8</v>
      </c>
    </row>
    <row r="11" spans="1:12" x14ac:dyDescent="0.25">
      <c r="A11" t="s">
        <v>9</v>
      </c>
      <c r="C11">
        <v>0.4</v>
      </c>
      <c r="D11">
        <f>MAX(0.1, C11 - 0.1)</f>
        <v>0.30000000000000004</v>
      </c>
      <c r="F11" t="s">
        <v>9</v>
      </c>
      <c r="H11">
        <v>1</v>
      </c>
      <c r="I11">
        <f xml:space="preserve"> MIN(1, 2*C11)</f>
        <v>0.8</v>
      </c>
    </row>
    <row r="12" spans="1:12" x14ac:dyDescent="0.25">
      <c r="A12" t="s">
        <v>6</v>
      </c>
      <c r="C12">
        <v>0.5</v>
      </c>
      <c r="D12">
        <f>MAX(0.1, C12 - 0.1)</f>
        <v>0.4</v>
      </c>
      <c r="F12" t="s">
        <v>6</v>
      </c>
      <c r="H12">
        <v>1</v>
      </c>
      <c r="I12">
        <f xml:space="preserve"> MIN(1, 2*C12)</f>
        <v>1</v>
      </c>
    </row>
    <row r="13" spans="1:12" x14ac:dyDescent="0.25">
      <c r="A13" t="s">
        <v>8</v>
      </c>
      <c r="C13">
        <v>50</v>
      </c>
    </row>
    <row r="14" spans="1:12" x14ac:dyDescent="0.25">
      <c r="A14" t="s">
        <v>28</v>
      </c>
      <c r="C14">
        <v>30</v>
      </c>
    </row>
    <row r="16" spans="1:12" x14ac:dyDescent="0.25">
      <c r="B16" t="s">
        <v>26</v>
      </c>
      <c r="L16" t="s">
        <v>22</v>
      </c>
    </row>
    <row r="17" spans="2:12" x14ac:dyDescent="0.25">
      <c r="B17" t="s">
        <v>27</v>
      </c>
      <c r="C17" t="s">
        <v>1</v>
      </c>
      <c r="D17" t="s">
        <v>29</v>
      </c>
      <c r="E17" t="s">
        <v>20</v>
      </c>
      <c r="F17" t="s">
        <v>7</v>
      </c>
      <c r="G17" t="s">
        <v>9</v>
      </c>
      <c r="H17" t="s">
        <v>6</v>
      </c>
      <c r="I17" t="s">
        <v>10</v>
      </c>
      <c r="L17">
        <f ca="1">I31</f>
        <v>259999.99999999997</v>
      </c>
    </row>
    <row r="18" spans="2:12" x14ac:dyDescent="0.25">
      <c r="B18">
        <f ca="1">RAND()</f>
        <v>0.23917615632160338</v>
      </c>
      <c r="C18">
        <f ca="1">IF(B18&lt;=0.3,C8,C7)</f>
        <v>5000</v>
      </c>
      <c r="D18">
        <f ca="1">C5*C18</f>
        <v>150000</v>
      </c>
      <c r="E18">
        <v>0</v>
      </c>
      <c r="F18">
        <f ca="1">(1-C10)*C18*C13</f>
        <v>150000</v>
      </c>
      <c r="G18">
        <f ca="1">(1-C11)*C18*C13</f>
        <v>150000</v>
      </c>
      <c r="H18">
        <f ca="1">(1-C12)*C18*C13</f>
        <v>125000</v>
      </c>
      <c r="I18">
        <f ca="1">SUM(D18:H18)</f>
        <v>575000</v>
      </c>
      <c r="K18">
        <v>1</v>
      </c>
      <c r="L18">
        <f t="dataTable" ref="L18:L27" dt2D="0" dtr="0" r1="N32" ca="1"/>
        <v>259999.99999999997</v>
      </c>
    </row>
    <row r="19" spans="2:12" x14ac:dyDescent="0.25">
      <c r="D19">
        <f ca="1">C14*C18</f>
        <v>150000</v>
      </c>
      <c r="E19">
        <v>50000</v>
      </c>
      <c r="F19">
        <f ca="1">C10*C18*C13</f>
        <v>100000</v>
      </c>
      <c r="G19">
        <f ca="1">C11*C18*C13</f>
        <v>100000</v>
      </c>
      <c r="H19">
        <f ca="1">C12*C18*C13</f>
        <v>125000</v>
      </c>
      <c r="I19">
        <f ca="1">SUM(D19:H19)</f>
        <v>525000</v>
      </c>
      <c r="K19">
        <f>K18+1</f>
        <v>2</v>
      </c>
      <c r="L19">
        <v>104999.99999999999</v>
      </c>
    </row>
    <row r="20" spans="2:12" x14ac:dyDescent="0.25">
      <c r="K20">
        <f t="shared" ref="K20:K27" si="0">K19+1</f>
        <v>3</v>
      </c>
      <c r="L20">
        <v>104999.99999999999</v>
      </c>
    </row>
    <row r="21" spans="2:12" x14ac:dyDescent="0.25">
      <c r="H21" t="s">
        <v>14</v>
      </c>
      <c r="I21">
        <f ca="1">I18-I19</f>
        <v>50000</v>
      </c>
      <c r="K21">
        <f t="shared" si="0"/>
        <v>4</v>
      </c>
      <c r="L21">
        <v>104999.99999999999</v>
      </c>
    </row>
    <row r="22" spans="2:12" x14ac:dyDescent="0.25">
      <c r="K22">
        <f t="shared" si="0"/>
        <v>5</v>
      </c>
      <c r="L22">
        <v>259999.99999999997</v>
      </c>
    </row>
    <row r="23" spans="2:12" x14ac:dyDescent="0.25">
      <c r="K23">
        <f t="shared" si="0"/>
        <v>6</v>
      </c>
      <c r="L23">
        <v>104999.99999999999</v>
      </c>
    </row>
    <row r="24" spans="2:12" x14ac:dyDescent="0.25">
      <c r="B24" t="s">
        <v>30</v>
      </c>
      <c r="F24" t="s">
        <v>7</v>
      </c>
      <c r="G24" t="s">
        <v>9</v>
      </c>
      <c r="H24" t="s">
        <v>6</v>
      </c>
      <c r="I24" t="s">
        <v>10</v>
      </c>
      <c r="K24">
        <f t="shared" si="0"/>
        <v>7</v>
      </c>
      <c r="L24">
        <v>104999.99999999999</v>
      </c>
    </row>
    <row r="25" spans="2:12" x14ac:dyDescent="0.25">
      <c r="F25">
        <f ca="1">(1-D10)*C18*C13*I10</f>
        <v>140000</v>
      </c>
      <c r="G25">
        <f ca="1">(1-D11)*C18*C13*I11</f>
        <v>140000</v>
      </c>
      <c r="H25">
        <f ca="1">(1-D12)*C18*C13*I12</f>
        <v>150000</v>
      </c>
      <c r="I25">
        <f ca="1">SUM(F25:H25)</f>
        <v>430000</v>
      </c>
      <c r="K25">
        <f t="shared" si="0"/>
        <v>8</v>
      </c>
      <c r="L25">
        <v>259999.99999999997</v>
      </c>
    </row>
    <row r="26" spans="2:12" x14ac:dyDescent="0.25">
      <c r="F26">
        <f ca="1">D10*C18*C13*I10</f>
        <v>60000.000000000015</v>
      </c>
      <c r="G26">
        <f ca="1">D11*C18*C13*I11</f>
        <v>60000.000000000015</v>
      </c>
      <c r="H26">
        <f ca="1">D12*C18*C13*I12</f>
        <v>100000</v>
      </c>
      <c r="I26">
        <f ca="1">SUM(F26:H26)</f>
        <v>220000.00000000003</v>
      </c>
      <c r="K26">
        <f t="shared" si="0"/>
        <v>9</v>
      </c>
      <c r="L26">
        <v>104999.99999999999</v>
      </c>
    </row>
    <row r="27" spans="2:12" x14ac:dyDescent="0.25">
      <c r="K27">
        <f t="shared" si="0"/>
        <v>10</v>
      </c>
      <c r="L27">
        <v>104999.99999999999</v>
      </c>
    </row>
    <row r="28" spans="2:12" x14ac:dyDescent="0.25">
      <c r="H28" t="s">
        <v>14</v>
      </c>
      <c r="I28">
        <f ca="1">I25-I26</f>
        <v>209999.99999999997</v>
      </c>
      <c r="K28" t="s">
        <v>31</v>
      </c>
      <c r="L28">
        <f>AVERAGE(L18:L27)</f>
        <v>151499.99999999997</v>
      </c>
    </row>
    <row r="31" spans="2:12" x14ac:dyDescent="0.25">
      <c r="H31" t="s">
        <v>22</v>
      </c>
      <c r="I31">
        <f ca="1">I21+I28</f>
        <v>259999.99999999997</v>
      </c>
    </row>
    <row r="36" spans="2:12" x14ac:dyDescent="0.25">
      <c r="B36" t="s">
        <v>26</v>
      </c>
      <c r="L36" t="s">
        <v>22</v>
      </c>
    </row>
    <row r="37" spans="2:12" x14ac:dyDescent="0.25">
      <c r="B37" t="s">
        <v>32</v>
      </c>
      <c r="C37" t="s">
        <v>1</v>
      </c>
      <c r="D37" t="s">
        <v>29</v>
      </c>
      <c r="E37" t="s">
        <v>20</v>
      </c>
      <c r="F37" t="s">
        <v>7</v>
      </c>
      <c r="G37" t="s">
        <v>9</v>
      </c>
      <c r="H37" t="s">
        <v>6</v>
      </c>
      <c r="I37" t="s">
        <v>10</v>
      </c>
      <c r="L37">
        <f ca="1">I51</f>
        <v>259999.99999999997</v>
      </c>
    </row>
    <row r="38" spans="2:12" x14ac:dyDescent="0.25">
      <c r="B38">
        <f ca="1">RAND()</f>
        <v>0.86223400859476051</v>
      </c>
      <c r="C38">
        <f ca="1">IF(B38&lt;=0.3,C7,C8)</f>
        <v>5000</v>
      </c>
      <c r="D38">
        <f ca="1">C5*C38</f>
        <v>150000</v>
      </c>
      <c r="E38">
        <v>0</v>
      </c>
      <c r="F38">
        <f ca="1">(1-C10)*C38*C13</f>
        <v>150000</v>
      </c>
      <c r="G38">
        <f ca="1">(1-C11)*C38*C13</f>
        <v>150000</v>
      </c>
      <c r="H38">
        <f ca="1">(1-C12)*C38*C13</f>
        <v>125000</v>
      </c>
      <c r="I38">
        <f ca="1">SUM(D38:H38)</f>
        <v>575000</v>
      </c>
      <c r="K38">
        <v>1</v>
      </c>
      <c r="L38">
        <f t="dataTable" ref="L38:L47" dt2D="0" dtr="0" r1="K49" ca="1"/>
        <v>104999.99999999999</v>
      </c>
    </row>
    <row r="39" spans="2:12" x14ac:dyDescent="0.25">
      <c r="D39">
        <f ca="1">C14*C38</f>
        <v>150000</v>
      </c>
      <c r="E39">
        <v>50000</v>
      </c>
      <c r="F39">
        <f ca="1">C10*C38*C13</f>
        <v>100000</v>
      </c>
      <c r="G39">
        <f ca="1">C11*C38*C13</f>
        <v>100000</v>
      </c>
      <c r="H39">
        <f ca="1">C12*C38*C13</f>
        <v>125000</v>
      </c>
      <c r="I39">
        <f ca="1">SUM(D39:H39)</f>
        <v>525000</v>
      </c>
      <c r="K39">
        <f>K38+1</f>
        <v>2</v>
      </c>
      <c r="L39">
        <v>259999.99999999997</v>
      </c>
    </row>
    <row r="40" spans="2:12" x14ac:dyDescent="0.25">
      <c r="K40">
        <f t="shared" ref="K40:K48" si="1">K39+1</f>
        <v>3</v>
      </c>
      <c r="L40">
        <v>104999.99999999999</v>
      </c>
    </row>
    <row r="41" spans="2:12" x14ac:dyDescent="0.25">
      <c r="H41" t="s">
        <v>14</v>
      </c>
      <c r="I41">
        <f ca="1">I38-I39</f>
        <v>50000</v>
      </c>
      <c r="K41">
        <f t="shared" si="1"/>
        <v>4</v>
      </c>
      <c r="L41">
        <v>259999.99999999997</v>
      </c>
    </row>
    <row r="42" spans="2:12" x14ac:dyDescent="0.25">
      <c r="K42">
        <f t="shared" si="1"/>
        <v>5</v>
      </c>
      <c r="L42">
        <v>259999.99999999997</v>
      </c>
    </row>
    <row r="43" spans="2:12" x14ac:dyDescent="0.25">
      <c r="K43">
        <f t="shared" si="1"/>
        <v>6</v>
      </c>
      <c r="L43">
        <v>259999.99999999997</v>
      </c>
    </row>
    <row r="44" spans="2:12" x14ac:dyDescent="0.25">
      <c r="B44" t="s">
        <v>30</v>
      </c>
      <c r="F44" t="s">
        <v>7</v>
      </c>
      <c r="G44" t="s">
        <v>9</v>
      </c>
      <c r="H44" t="s">
        <v>6</v>
      </c>
      <c r="I44" t="s">
        <v>10</v>
      </c>
      <c r="K44">
        <f t="shared" si="1"/>
        <v>7</v>
      </c>
      <c r="L44">
        <v>259999.99999999997</v>
      </c>
    </row>
    <row r="45" spans="2:12" x14ac:dyDescent="0.25">
      <c r="F45">
        <f ca="1">(1-D10)*C38*C13*I10</f>
        <v>140000</v>
      </c>
      <c r="G45">
        <f ca="1">(1-D11)*C38*C13*I11</f>
        <v>140000</v>
      </c>
      <c r="H45">
        <f ca="1">(1-D12)*C38*C13*I12</f>
        <v>150000</v>
      </c>
      <c r="I45">
        <f ca="1">SUM(F45:H45)</f>
        <v>430000</v>
      </c>
      <c r="K45">
        <f t="shared" si="1"/>
        <v>8</v>
      </c>
      <c r="L45">
        <v>104999.99999999999</v>
      </c>
    </row>
    <row r="46" spans="2:12" x14ac:dyDescent="0.25">
      <c r="F46">
        <f ca="1">D10*C38*C13*I10</f>
        <v>60000.000000000015</v>
      </c>
      <c r="G46">
        <f ca="1">D11*C38*C13*I11</f>
        <v>60000.000000000015</v>
      </c>
      <c r="H46">
        <f ca="1">D12*C38*C13*I12</f>
        <v>100000</v>
      </c>
      <c r="I46">
        <f ca="1">SUM(F46:H46)</f>
        <v>220000.00000000003</v>
      </c>
      <c r="K46">
        <f t="shared" si="1"/>
        <v>9</v>
      </c>
      <c r="L46">
        <v>259999.99999999997</v>
      </c>
    </row>
    <row r="47" spans="2:12" x14ac:dyDescent="0.25">
      <c r="K47">
        <f t="shared" si="1"/>
        <v>10</v>
      </c>
      <c r="L47">
        <v>104999.99999999999</v>
      </c>
    </row>
    <row r="48" spans="2:12" x14ac:dyDescent="0.25">
      <c r="H48" t="s">
        <v>14</v>
      </c>
      <c r="I48">
        <f ca="1">I45-I46</f>
        <v>209999.99999999997</v>
      </c>
      <c r="K48" t="s">
        <v>31</v>
      </c>
      <c r="L48">
        <f>AVERAGE(L38:L47)</f>
        <v>197999.99999999997</v>
      </c>
    </row>
    <row r="51" spans="8:9" x14ac:dyDescent="0.25">
      <c r="H51" t="s">
        <v>22</v>
      </c>
      <c r="I51">
        <f ca="1">I41+I48</f>
        <v>259999.99999999997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raihan apurbo</dc:creator>
  <cp:lastModifiedBy>raihan apurbo</cp:lastModifiedBy>
  <dcterms:created xsi:type="dcterms:W3CDTF">2015-06-05T18:17:20Z</dcterms:created>
  <dcterms:modified xsi:type="dcterms:W3CDTF">2022-02-19T05:07:21Z</dcterms:modified>
</cp:coreProperties>
</file>